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nessarkhan/Documents/Cost and price/"/>
    </mc:Choice>
  </mc:AlternateContent>
  <xr:revisionPtr revIDLastSave="0" documentId="8_{0691FB30-D10E-6B45-9E1C-EB73B193BC76}" xr6:coauthVersionLast="47" xr6:coauthVersionMax="47" xr10:uidLastSave="{00000000-0000-0000-0000-000000000000}"/>
  <bookViews>
    <workbookView xWindow="0" yWindow="600" windowWidth="38400" windowHeight="19440" xr2:uid="{00000000-000D-0000-FFFF-FFFF00000000}"/>
  </bookViews>
  <sheets>
    <sheet name="Battery Price List" sheetId="1" r:id="rId1"/>
    <sheet name="Inverter Price" sheetId="2" r:id="rId2"/>
    <sheet name="Solar Price" sheetId="3" r:id="rId3"/>
  </sheets>
  <definedNames>
    <definedName name="_xlnm.Print_Area" localSheetId="2">'Solar Price'!$B$3:$L$22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1" l="1"/>
  <c r="M9" i="1"/>
  <c r="M7" i="1"/>
  <c r="M6" i="1"/>
  <c r="M5" i="1"/>
  <c r="M4" i="1"/>
  <c r="M3" i="1"/>
  <c r="M2" i="1"/>
  <c r="L7" i="3"/>
  <c r="L8" i="3"/>
  <c r="L9" i="3"/>
  <c r="L10" i="3"/>
  <c r="L11" i="3"/>
  <c r="L6" i="3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</calcChain>
</file>

<file path=xl/sharedStrings.xml><?xml version="1.0" encoding="utf-8"?>
<sst xmlns="http://schemas.openxmlformats.org/spreadsheetml/2006/main" count="189" uniqueCount="110">
  <si>
    <t>#</t>
  </si>
  <si>
    <t>Battery Model</t>
  </si>
  <si>
    <t>Battery Price</t>
  </si>
  <si>
    <t>State Rebate</t>
  </si>
  <si>
    <t>Federal Rebate</t>
  </si>
  <si>
    <t>Final Battery Price</t>
  </si>
  <si>
    <t>Goodwe 16kWh All in One</t>
  </si>
  <si>
    <t>Goodwe 24kWh All in One</t>
  </si>
  <si>
    <t>Goodwe 32kWh All in One</t>
  </si>
  <si>
    <t>Goodwe 40kWh All in One</t>
  </si>
  <si>
    <t>Goodwe 48kWh All in One</t>
  </si>
  <si>
    <t>Sigenergy 16kWh Battery Only</t>
  </si>
  <si>
    <t>Sigenergy 24kWh Battery Only</t>
  </si>
  <si>
    <t>Sigenergy 32kWh Battery Only</t>
  </si>
  <si>
    <t>Sigenergy 40kWh Battery Only</t>
  </si>
  <si>
    <t>Sigenergy 48kWh Battery Only</t>
  </si>
  <si>
    <t>FoxESS 18kWh EQ</t>
  </si>
  <si>
    <t>FoxESS 23kWh EQ</t>
  </si>
  <si>
    <t>FoxESS 27kWh EQ</t>
  </si>
  <si>
    <t>FoxESS 32kWh EQ</t>
  </si>
  <si>
    <t>FoxESS 37kWh EQ</t>
  </si>
  <si>
    <t>FoxESS 42kWh EQ</t>
  </si>
  <si>
    <t>ESY Battery Model 1</t>
  </si>
  <si>
    <t>ESY Battery Model 2</t>
  </si>
  <si>
    <t>ESY Battery Model 3</t>
  </si>
  <si>
    <t>Brand Legend:</t>
  </si>
  <si>
    <t>Goodwe</t>
  </si>
  <si>
    <t>Sungrow</t>
  </si>
  <si>
    <t>Sigenergy</t>
  </si>
  <si>
    <t>FoxESS</t>
  </si>
  <si>
    <t>ESY</t>
  </si>
  <si>
    <t>Sungrow 10kWh Battery Only</t>
  </si>
  <si>
    <t>Sungrow 15kWh Battery Only</t>
  </si>
  <si>
    <t>Sungrow 20kWh Battery Only</t>
  </si>
  <si>
    <t>Sungrow 25 kWh Battery for 3P Only</t>
  </si>
  <si>
    <t>Brand</t>
  </si>
  <si>
    <t>Model</t>
  </si>
  <si>
    <t>Phase / Size</t>
  </si>
  <si>
    <t>Hybrid Inverter with GST</t>
  </si>
  <si>
    <t>Goodwe 5kW 1P</t>
  </si>
  <si>
    <t>1P 5kW</t>
  </si>
  <si>
    <t>Goodwe 10kW 1P</t>
  </si>
  <si>
    <t>1P 10kW</t>
  </si>
  <si>
    <t>Goodwe 5kW 3P</t>
  </si>
  <si>
    <t>3P 5kW</t>
  </si>
  <si>
    <t>Goodwe 8kW 3P</t>
  </si>
  <si>
    <t>3P 8kW</t>
  </si>
  <si>
    <t>Goodwe 10kW 3P</t>
  </si>
  <si>
    <t>3P 10kW</t>
  </si>
  <si>
    <t>Goodwe 15kW 3P</t>
  </si>
  <si>
    <t>3P 15kW</t>
  </si>
  <si>
    <t>SH5.0RS</t>
  </si>
  <si>
    <t>SH8.0RS</t>
  </si>
  <si>
    <t>1P 8kW</t>
  </si>
  <si>
    <t>SH10RS</t>
  </si>
  <si>
    <t>SH5RT</t>
  </si>
  <si>
    <t>SH10RT</t>
  </si>
  <si>
    <t>SH15RT</t>
  </si>
  <si>
    <t>SigenStor EC 5.0 SP</t>
  </si>
  <si>
    <t>SigenStor EC 8.0 SP</t>
  </si>
  <si>
    <t>SigenStor EC 10.0 SP</t>
  </si>
  <si>
    <t>SigenStor EC 5.0 TP</t>
  </si>
  <si>
    <t>SigenStor EC 10.0 TP</t>
  </si>
  <si>
    <t>SigenStor EC 15.0 TP</t>
  </si>
  <si>
    <t>Fox 5kW 1P</t>
  </si>
  <si>
    <t>Fox 8kW 1P</t>
  </si>
  <si>
    <t>Fox 10kW 1P</t>
  </si>
  <si>
    <t>Fox 5kW 3P</t>
  </si>
  <si>
    <t>Fox 10kW 3P</t>
  </si>
  <si>
    <t>Fox 15kW 3P</t>
  </si>
  <si>
    <t>ESY Model 1</t>
  </si>
  <si>
    <t>ESY Model 2</t>
  </si>
  <si>
    <t>ESY Model 3</t>
  </si>
  <si>
    <t>ESY Model 4</t>
  </si>
  <si>
    <t>ESY Model 5</t>
  </si>
  <si>
    <t>⚠  Note: Please double check inverter compatibility with Operations team before quoting.</t>
  </si>
  <si>
    <t>Sl</t>
  </si>
  <si>
    <t>System Size</t>
  </si>
  <si>
    <t>Recommended Inverter</t>
  </si>
  <si>
    <t>Price with GST</t>
  </si>
  <si>
    <t>STC Rebate</t>
  </si>
  <si>
    <t xml:space="preserve">Final Price </t>
  </si>
  <si>
    <t>5 KW</t>
  </si>
  <si>
    <t>6.6 KW</t>
  </si>
  <si>
    <t>10 KW</t>
  </si>
  <si>
    <t>8 or 10 KW</t>
  </si>
  <si>
    <t>13 KW</t>
  </si>
  <si>
    <t>Panels Trina 475 watt or Jinko, Rails Cleanergy or Mibet</t>
  </si>
  <si>
    <t>1*</t>
  </si>
  <si>
    <t>2*</t>
  </si>
  <si>
    <t>3*</t>
  </si>
  <si>
    <t>Sofar</t>
  </si>
  <si>
    <t>ESI 5 K</t>
  </si>
  <si>
    <t>ESI 6K</t>
  </si>
  <si>
    <t>1P 6KW</t>
  </si>
  <si>
    <t>HYD 5</t>
  </si>
  <si>
    <t>HYD10</t>
  </si>
  <si>
    <t>HYD 15</t>
  </si>
  <si>
    <t>HYD 20</t>
  </si>
  <si>
    <t>3P 20kW</t>
  </si>
  <si>
    <t xml:space="preserve">      Sofar</t>
  </si>
  <si>
    <t>Sofar 10 KWH</t>
  </si>
  <si>
    <t>Sofar15 KWH</t>
  </si>
  <si>
    <t>Sofar 20 KWH</t>
  </si>
  <si>
    <t>Sofar 30 KWH</t>
  </si>
  <si>
    <t>Sofar 40 KWH</t>
  </si>
  <si>
    <t>Sofar 50 KWH</t>
  </si>
  <si>
    <t xml:space="preserve">Sofar Single phase up to 30 KWH Support </t>
  </si>
  <si>
    <t>Sofar Three Phase 5 KW Inverter also support up to 30 KWH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</si>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</sst>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_);\(&quot;$&quot;#,##0.00\);&quot;-&quot;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color rgb="FF59595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i/>
      <sz val="9"/>
      <color rgb="FF595959"/>
      <name val="Arial"/>
      <family val="2"/>
    </font>
    <font>
      <sz val="12"/>
      <color rgb="FF9C0006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AD1D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C7CE"/>
      </patternFill>
    </fill>
  </fills>
  <borders count="4">
    <border>
      <left/>
      <right/>
      <top/>
      <bottom/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8" borderId="0" applyNumberFormat="0" applyBorder="0" applyAlignment="0" applyProtection="0"/>
    <xf numFmtId="0" fontId="8" fillId="10" borderId="0" applyNumberFormat="0" applyBorder="0" applyAlignment="0" applyProtection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indent="1"/>
    </xf>
    <xf numFmtId="164" fontId="3" fillId="3" borderId="2" xfId="0" applyNumberFormat="1" applyFont="1" applyFill="1" applyBorder="1" applyAlignment="1">
      <alignment horizontal="right" vertical="center"/>
    </xf>
    <xf numFmtId="164" fontId="4" fillId="3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indent="1"/>
    </xf>
    <xf numFmtId="164" fontId="3" fillId="4" borderId="2" xfId="0" applyNumberFormat="1" applyFont="1" applyFill="1" applyBorder="1" applyAlignment="1">
      <alignment horizontal="right" vertical="center"/>
    </xf>
    <xf numFmtId="164" fontId="4" fillId="4" borderId="2" xfId="0" applyNumberFormat="1" applyFont="1" applyFill="1" applyBorder="1" applyAlignment="1">
      <alignment horizontal="right" vertical="center"/>
    </xf>
    <xf numFmtId="0" fontId="2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 indent="1"/>
    </xf>
    <xf numFmtId="164" fontId="3" fillId="5" borderId="2" xfId="0" applyNumberFormat="1" applyFont="1" applyFill="1" applyBorder="1" applyAlignment="1">
      <alignment horizontal="right" vertical="center"/>
    </xf>
    <xf numFmtId="164" fontId="4" fillId="5" borderId="2" xfId="0" applyNumberFormat="1" applyFont="1" applyFill="1" applyBorder="1" applyAlignment="1">
      <alignment horizontal="right" vertical="center"/>
    </xf>
    <xf numFmtId="0" fontId="2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 indent="1"/>
    </xf>
    <xf numFmtId="164" fontId="3" fillId="6" borderId="2" xfId="0" applyNumberFormat="1" applyFont="1" applyFill="1" applyBorder="1" applyAlignment="1">
      <alignment horizontal="right" vertical="center"/>
    </xf>
    <xf numFmtId="164" fontId="4" fillId="6" borderId="2" xfId="0" applyNumberFormat="1" applyFont="1" applyFill="1" applyBorder="1" applyAlignment="1">
      <alignment horizontal="right" vertical="center"/>
    </xf>
    <xf numFmtId="0" fontId="2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 indent="1"/>
    </xf>
    <xf numFmtId="164" fontId="3" fillId="7" borderId="2" xfId="0" applyNumberFormat="1" applyFont="1" applyFill="1" applyBorder="1" applyAlignment="1">
      <alignment horizontal="right" vertical="center"/>
    </xf>
    <xf numFmtId="164" fontId="4" fillId="7" borderId="2" xfId="0" applyNumberFormat="1" applyFont="1" applyFill="1" applyBorder="1" applyAlignment="1">
      <alignment horizontal="right" vertical="center"/>
    </xf>
    <xf numFmtId="0" fontId="4" fillId="0" borderId="0" xfId="0" applyFont="1"/>
    <xf numFmtId="0" fontId="3" fillId="3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 indent="1"/>
    </xf>
    <xf numFmtId="0" fontId="3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 indent="1"/>
    </xf>
    <xf numFmtId="0" fontId="3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 indent="1"/>
    </xf>
    <xf numFmtId="0" fontId="3" fillId="7" borderId="2" xfId="0" applyFont="1" applyFill="1" applyBorder="1" applyAlignment="1">
      <alignment horizontal="center" vertical="center"/>
    </xf>
    <xf numFmtId="0" fontId="6" fillId="8" borderId="0" xfId="2"/>
    <xf numFmtId="44" fontId="6" fillId="8" borderId="0" xfId="1" applyFont="1" applyFill="1"/>
    <xf numFmtId="44" fontId="6" fillId="8" borderId="0" xfId="2" applyNumberFormat="1"/>
    <xf numFmtId="0" fontId="8" fillId="10" borderId="0" xfId="3"/>
    <xf numFmtId="164" fontId="4" fillId="3" borderId="3" xfId="0" applyNumberFormat="1" applyFont="1" applyFill="1" applyBorder="1" applyAlignment="1">
      <alignment horizontal="right" vertical="center"/>
    </xf>
    <xf numFmtId="0" fontId="7" fillId="9" borderId="1" xfId="0" applyFont="1" applyFill="1" applyBorder="1" applyAlignment="1">
      <alignment horizontal="center" vertical="center" wrapText="1"/>
    </xf>
    <xf numFmtId="0" fontId="0" fillId="0" borderId="0" xfId="0"/>
  </cellXfs>
  <cellStyles count="4">
    <cellStyle name="Bad" xfId="3" builtinId="27"/>
    <cellStyle name="Currency" xfId="1" builtinId="4"/>
    <cellStyle name="Good" xfId="2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2"/>
  <sheetViews>
    <sheetView tabSelected="1" zoomScale="140" zoomScaleNormal="140" workbookViewId="0">
      <pane ySplit="1" topLeftCell="A2" activePane="bottomLeft" state="frozen"/>
      <selection pane="bottomLeft" activeCell="N12" sqref="N12"/>
    </sheetView>
  </sheetViews>
  <sheetFormatPr baseColWidth="10" defaultColWidth="8.83203125" defaultRowHeight="15" x14ac:dyDescent="0.2"/>
  <cols>
    <col min="1" max="1" width="5" customWidth="1"/>
    <col min="2" max="2" width="38" customWidth="1"/>
    <col min="3" max="5" width="18" customWidth="1"/>
    <col min="6" max="6" width="20" customWidth="1"/>
    <col min="9" max="9" width="25.6640625" customWidth="1"/>
    <col min="10" max="10" width="10.33203125" customWidth="1"/>
    <col min="12" max="12" width="9.6640625" bestFit="1" customWidth="1"/>
    <col min="13" max="13" width="11.33203125" customWidth="1"/>
  </cols>
  <sheetData>
    <row r="1" spans="1:13" ht="30" customHeight="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</row>
    <row r="2" spans="1:13" ht="18" customHeight="1" x14ac:dyDescent="0.2">
      <c r="A2" s="2">
        <v>1</v>
      </c>
      <c r="B2" s="3" t="s">
        <v>6</v>
      </c>
      <c r="C2" s="4">
        <v>8046</v>
      </c>
      <c r="D2" s="4"/>
      <c r="E2" s="4">
        <v>3862</v>
      </c>
      <c r="F2" s="5">
        <f>C2-E2</f>
        <v>4184</v>
      </c>
      <c r="H2" s="2">
        <v>1</v>
      </c>
      <c r="I2" s="3" t="s">
        <v>101</v>
      </c>
      <c r="J2" s="4">
        <v>4360</v>
      </c>
      <c r="K2" s="4"/>
      <c r="L2" s="4">
        <v>2550</v>
      </c>
      <c r="M2" s="5">
        <f>J2-L2</f>
        <v>1810</v>
      </c>
    </row>
    <row r="3" spans="1:13" ht="18" customHeight="1" x14ac:dyDescent="0.2">
      <c r="A3" s="2">
        <v>2</v>
      </c>
      <c r="B3" s="3" t="s">
        <v>7</v>
      </c>
      <c r="C3" s="4">
        <v>11664</v>
      </c>
      <c r="D3" s="4"/>
      <c r="E3" s="4">
        <v>5100</v>
      </c>
      <c r="F3" s="5">
        <f t="shared" ref="F3:F21" si="0">C3-E3</f>
        <v>6564</v>
      </c>
      <c r="H3" s="2">
        <v>2</v>
      </c>
      <c r="I3" s="3" t="s">
        <v>102</v>
      </c>
      <c r="J3" s="4">
        <v>5790</v>
      </c>
      <c r="K3" s="4"/>
      <c r="L3" s="4">
        <v>3712</v>
      </c>
      <c r="M3" s="5">
        <f t="shared" ref="M3:M7" si="1">J3-L3</f>
        <v>2078</v>
      </c>
    </row>
    <row r="4" spans="1:13" ht="18" customHeight="1" x14ac:dyDescent="0.2">
      <c r="A4" s="2">
        <v>3</v>
      </c>
      <c r="B4" s="3" t="s">
        <v>8</v>
      </c>
      <c r="C4" s="4">
        <v>15282</v>
      </c>
      <c r="D4" s="4"/>
      <c r="E4" s="4">
        <v>5850</v>
      </c>
      <c r="F4" s="5">
        <f t="shared" si="0"/>
        <v>9432</v>
      </c>
      <c r="H4" s="2">
        <v>3</v>
      </c>
      <c r="I4" s="3" t="s">
        <v>103</v>
      </c>
      <c r="J4" s="4">
        <v>7200</v>
      </c>
      <c r="K4" s="4"/>
      <c r="L4" s="4">
        <v>4463</v>
      </c>
      <c r="M4" s="5">
        <f t="shared" si="1"/>
        <v>2737</v>
      </c>
    </row>
    <row r="5" spans="1:13" ht="18" customHeight="1" x14ac:dyDescent="0.2">
      <c r="A5" s="2">
        <v>4</v>
      </c>
      <c r="B5" s="3" t="s">
        <v>9</v>
      </c>
      <c r="C5" s="4">
        <v>18900</v>
      </c>
      <c r="D5" s="4"/>
      <c r="E5" s="4">
        <v>6150</v>
      </c>
      <c r="F5" s="5">
        <f t="shared" si="0"/>
        <v>12750</v>
      </c>
      <c r="H5" s="2">
        <v>4</v>
      </c>
      <c r="I5" s="3" t="s">
        <v>104</v>
      </c>
      <c r="J5" s="4">
        <v>11900</v>
      </c>
      <c r="K5" s="4"/>
      <c r="L5" s="4">
        <v>5775</v>
      </c>
      <c r="M5" s="5">
        <f t="shared" si="1"/>
        <v>6125</v>
      </c>
    </row>
    <row r="6" spans="1:13" ht="18" customHeight="1" x14ac:dyDescent="0.2">
      <c r="A6" s="2">
        <v>5</v>
      </c>
      <c r="B6" s="3" t="s">
        <v>10</v>
      </c>
      <c r="C6" s="4">
        <v>22518</v>
      </c>
      <c r="D6" s="4"/>
      <c r="E6" s="4">
        <v>6450</v>
      </c>
      <c r="F6" s="5">
        <f t="shared" si="0"/>
        <v>16068</v>
      </c>
      <c r="H6" s="2">
        <v>5</v>
      </c>
      <c r="I6" s="3" t="s">
        <v>105</v>
      </c>
      <c r="J6" s="4">
        <v>15800</v>
      </c>
      <c r="K6" s="4"/>
      <c r="L6" s="4">
        <v>6150</v>
      </c>
      <c r="M6" s="5">
        <f t="shared" si="1"/>
        <v>9650</v>
      </c>
    </row>
    <row r="7" spans="1:13" ht="18" customHeight="1" x14ac:dyDescent="0.2">
      <c r="A7" s="6">
        <v>6</v>
      </c>
      <c r="B7" s="7" t="s">
        <v>31</v>
      </c>
      <c r="C7" s="8">
        <v>7647</v>
      </c>
      <c r="D7" s="8"/>
      <c r="E7" s="8">
        <v>2550</v>
      </c>
      <c r="F7" s="5">
        <f t="shared" si="0"/>
        <v>5097</v>
      </c>
      <c r="H7" s="6">
        <v>6</v>
      </c>
      <c r="I7" s="7" t="s">
        <v>106</v>
      </c>
      <c r="J7" s="8">
        <v>18700</v>
      </c>
      <c r="K7" s="8"/>
      <c r="L7" s="8">
        <v>6525</v>
      </c>
      <c r="M7" s="5">
        <f t="shared" si="1"/>
        <v>12175</v>
      </c>
    </row>
    <row r="8" spans="1:13" ht="18" customHeight="1" x14ac:dyDescent="0.2">
      <c r="A8" s="6">
        <v>7</v>
      </c>
      <c r="B8" s="7" t="s">
        <v>32</v>
      </c>
      <c r="C8" s="8">
        <v>10277</v>
      </c>
      <c r="D8" s="8"/>
      <c r="E8" s="8">
        <v>3712</v>
      </c>
      <c r="F8" s="5">
        <f t="shared" si="0"/>
        <v>6565</v>
      </c>
      <c r="H8" s="6"/>
      <c r="I8" s="7"/>
      <c r="J8" s="8"/>
      <c r="K8" s="8"/>
      <c r="L8" s="8"/>
      <c r="M8" s="5"/>
    </row>
    <row r="9" spans="1:13" ht="18" customHeight="1" x14ac:dyDescent="0.2">
      <c r="A9" s="6">
        <v>8</v>
      </c>
      <c r="B9" s="7" t="s">
        <v>33</v>
      </c>
      <c r="C9" s="8">
        <v>12907</v>
      </c>
      <c r="D9" s="8"/>
      <c r="E9" s="8">
        <v>4463</v>
      </c>
      <c r="F9" s="5">
        <f t="shared" si="0"/>
        <v>8444</v>
      </c>
      <c r="M9" s="42">
        <f>+P9</f>
        <v>0</v>
      </c>
    </row>
    <row r="10" spans="1:13" ht="18" customHeight="1" x14ac:dyDescent="0.2">
      <c r="A10" s="6">
        <v>9</v>
      </c>
      <c r="B10" s="7" t="s">
        <v>34</v>
      </c>
      <c r="C10" s="8">
        <v>15537</v>
      </c>
      <c r="D10" s="8"/>
      <c r="E10" s="8">
        <v>5250</v>
      </c>
      <c r="F10" s="5">
        <f t="shared" si="0"/>
        <v>10287</v>
      </c>
      <c r="H10" t="s">
        <v>107</v>
      </c>
    </row>
    <row r="11" spans="1:13" ht="18" customHeight="1" x14ac:dyDescent="0.2">
      <c r="A11" s="10">
        <v>10</v>
      </c>
      <c r="B11" s="11" t="s">
        <v>11</v>
      </c>
      <c r="C11" s="12">
        <v>10300</v>
      </c>
      <c r="D11" s="12"/>
      <c r="E11" s="12">
        <v>3862</v>
      </c>
      <c r="F11" s="5">
        <f t="shared" si="0"/>
        <v>6438</v>
      </c>
      <c r="H11" t="s">
        <v>108</v>
      </c>
    </row>
    <row r="12" spans="1:13" ht="18" customHeight="1" x14ac:dyDescent="0.2">
      <c r="A12" s="10">
        <v>11</v>
      </c>
      <c r="B12" s="11" t="s">
        <v>12</v>
      </c>
      <c r="C12" s="12">
        <v>13930</v>
      </c>
      <c r="D12" s="12"/>
      <c r="E12" s="12">
        <v>5100</v>
      </c>
      <c r="F12" s="5">
        <f t="shared" si="0"/>
        <v>8830</v>
      </c>
    </row>
    <row r="13" spans="1:13" ht="18" customHeight="1" x14ac:dyDescent="0.2">
      <c r="A13" s="10">
        <v>12</v>
      </c>
      <c r="B13" s="11" t="s">
        <v>13</v>
      </c>
      <c r="C13" s="12">
        <v>18210</v>
      </c>
      <c r="D13" s="12"/>
      <c r="E13" s="12">
        <v>5850</v>
      </c>
      <c r="F13" s="5">
        <f t="shared" si="0"/>
        <v>12360</v>
      </c>
    </row>
    <row r="14" spans="1:13" ht="18" customHeight="1" x14ac:dyDescent="0.2">
      <c r="A14" s="10">
        <v>13</v>
      </c>
      <c r="B14" s="11" t="s">
        <v>14</v>
      </c>
      <c r="C14" s="12">
        <v>22165</v>
      </c>
      <c r="D14" s="12"/>
      <c r="E14" s="12">
        <v>6150</v>
      </c>
      <c r="F14" s="5">
        <f t="shared" si="0"/>
        <v>16015</v>
      </c>
    </row>
    <row r="15" spans="1:13" ht="18" customHeight="1" x14ac:dyDescent="0.2">
      <c r="A15" s="10">
        <v>14</v>
      </c>
      <c r="B15" s="11" t="s">
        <v>15</v>
      </c>
      <c r="C15" s="12">
        <v>26121</v>
      </c>
      <c r="D15" s="12"/>
      <c r="E15" s="12">
        <v>6450</v>
      </c>
      <c r="F15" s="5">
        <f t="shared" si="0"/>
        <v>19671</v>
      </c>
    </row>
    <row r="16" spans="1:13" ht="18" customHeight="1" x14ac:dyDescent="0.2">
      <c r="A16" s="14">
        <v>15</v>
      </c>
      <c r="B16" s="15" t="s">
        <v>16</v>
      </c>
      <c r="C16" s="16">
        <v>7938</v>
      </c>
      <c r="D16" s="16"/>
      <c r="E16" s="16">
        <v>4163</v>
      </c>
      <c r="F16" s="5">
        <f t="shared" si="0"/>
        <v>3775</v>
      </c>
    </row>
    <row r="17" spans="1:9" ht="18" customHeight="1" x14ac:dyDescent="0.2">
      <c r="A17" s="14">
        <v>16</v>
      </c>
      <c r="B17" s="15" t="s">
        <v>17</v>
      </c>
      <c r="C17" s="16">
        <v>9760</v>
      </c>
      <c r="D17" s="16"/>
      <c r="E17" s="16">
        <v>4913</v>
      </c>
      <c r="F17" s="5">
        <f t="shared" si="0"/>
        <v>4847</v>
      </c>
    </row>
    <row r="18" spans="1:9" ht="18" customHeight="1" x14ac:dyDescent="0.2">
      <c r="A18" s="14">
        <v>17</v>
      </c>
      <c r="B18" s="15" t="s">
        <v>18</v>
      </c>
      <c r="C18" s="16">
        <v>11583</v>
      </c>
      <c r="D18" s="16"/>
      <c r="E18" s="16">
        <v>5550</v>
      </c>
      <c r="F18" s="5">
        <f t="shared" si="0"/>
        <v>6033</v>
      </c>
    </row>
    <row r="19" spans="1:9" ht="18" customHeight="1" x14ac:dyDescent="0.2">
      <c r="A19" s="14">
        <v>18</v>
      </c>
      <c r="B19" s="15" t="s">
        <v>19</v>
      </c>
      <c r="C19" s="16">
        <v>13324</v>
      </c>
      <c r="D19" s="16"/>
      <c r="E19" s="16">
        <v>5850</v>
      </c>
      <c r="F19" s="5">
        <f t="shared" si="0"/>
        <v>7474</v>
      </c>
    </row>
    <row r="20" spans="1:9" ht="18" customHeight="1" x14ac:dyDescent="0.2">
      <c r="A20" s="14">
        <v>19</v>
      </c>
      <c r="B20" s="15" t="s">
        <v>20</v>
      </c>
      <c r="C20" s="16">
        <v>15147</v>
      </c>
      <c r="D20" s="16"/>
      <c r="E20" s="16">
        <v>6037</v>
      </c>
      <c r="F20" s="5">
        <f t="shared" si="0"/>
        <v>9110</v>
      </c>
    </row>
    <row r="21" spans="1:9" ht="18" customHeight="1" x14ac:dyDescent="0.2">
      <c r="A21" s="14">
        <v>20</v>
      </c>
      <c r="B21" s="15" t="s">
        <v>21</v>
      </c>
      <c r="C21" s="16">
        <v>16969</v>
      </c>
      <c r="D21" s="16"/>
      <c r="E21" s="16">
        <v>6225</v>
      </c>
      <c r="F21" s="5">
        <f t="shared" si="0"/>
        <v>10744</v>
      </c>
    </row>
    <row r="22" spans="1:9" ht="18" customHeight="1" x14ac:dyDescent="0.2">
      <c r="A22" s="18">
        <v>21</v>
      </c>
      <c r="B22" s="19" t="s">
        <v>22</v>
      </c>
      <c r="C22" s="20"/>
      <c r="D22" s="20"/>
      <c r="E22" s="20"/>
      <c r="F22" s="21"/>
      <c r="I22">
        <f>+I23</f>
        <v>0</v>
      </c>
    </row>
    <row r="23" spans="1:9" ht="18" customHeight="1" x14ac:dyDescent="0.2">
      <c r="A23" s="18">
        <v>22</v>
      </c>
      <c r="B23" s="19" t="s">
        <v>23</v>
      </c>
      <c r="C23" s="20"/>
      <c r="D23" s="20"/>
      <c r="E23" s="20"/>
      <c r="F23" s="21"/>
    </row>
    <row r="24" spans="1:9" ht="18" customHeight="1" x14ac:dyDescent="0.2">
      <c r="A24" s="18">
        <v>23</v>
      </c>
      <c r="B24" s="19" t="s">
        <v>24</v>
      </c>
      <c r="C24" s="20"/>
      <c r="D24" s="20"/>
      <c r="E24" s="20"/>
      <c r="F24" s="21"/>
    </row>
    <row r="27" spans="1:9" x14ac:dyDescent="0.2">
      <c r="A27" s="22" t="s">
        <v>25</v>
      </c>
    </row>
    <row r="28" spans="1:9" x14ac:dyDescent="0.2">
      <c r="A28" s="23" t="s">
        <v>26</v>
      </c>
    </row>
    <row r="29" spans="1:9" x14ac:dyDescent="0.2">
      <c r="A29" s="24" t="s">
        <v>27</v>
      </c>
    </row>
    <row r="30" spans="1:9" x14ac:dyDescent="0.2">
      <c r="A30" s="25" t="s">
        <v>28</v>
      </c>
    </row>
    <row r="31" spans="1:9" x14ac:dyDescent="0.2">
      <c r="A31" s="26" t="s">
        <v>29</v>
      </c>
    </row>
    <row r="32" spans="1:9" x14ac:dyDescent="0.2">
      <c r="A32" s="27" t="s">
        <v>30</v>
      </c>
    </row>
  </sheetData>
  <pageMargins left="0.75" right="0.75" top="1" bottom="1" header="0.5" footer="0.5"/>
  <pageSetup paperSize="9" scale="60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0C85C-F98C-3B48-A911-2AE5C454EEC5}">
  <sheetPr>
    <pageSetUpPr fitToPage="1"/>
  </sheetPr>
  <dimension ref="B6:N46"/>
  <sheetViews>
    <sheetView topLeftCell="A4" zoomScale="120" zoomScaleNormal="120" workbookViewId="0">
      <selection activeCell="J28" sqref="J28"/>
    </sheetView>
  </sheetViews>
  <sheetFormatPr baseColWidth="10" defaultRowHeight="15" x14ac:dyDescent="0.2"/>
  <cols>
    <col min="4" max="4" width="18.83203125" customWidth="1"/>
  </cols>
  <sheetData>
    <row r="6" spans="2:14" ht="16" thickBot="1" x14ac:dyDescent="0.25"/>
    <row r="7" spans="2:14" ht="46" thickBot="1" x14ac:dyDescent="0.25">
      <c r="B7" s="1" t="s">
        <v>0</v>
      </c>
      <c r="C7" s="1" t="s">
        <v>35</v>
      </c>
      <c r="D7" s="1" t="s">
        <v>36</v>
      </c>
      <c r="E7" s="1" t="s">
        <v>37</v>
      </c>
      <c r="F7" s="1" t="s">
        <v>38</v>
      </c>
      <c r="J7" s="1" t="s">
        <v>0</v>
      </c>
      <c r="K7" s="1" t="s">
        <v>35</v>
      </c>
      <c r="L7" s="1" t="s">
        <v>36</v>
      </c>
      <c r="M7" s="1" t="s">
        <v>37</v>
      </c>
      <c r="N7" s="1" t="s">
        <v>38</v>
      </c>
    </row>
    <row r="8" spans="2:14" x14ac:dyDescent="0.2">
      <c r="B8" s="2">
        <v>1</v>
      </c>
      <c r="C8" s="28" t="s">
        <v>26</v>
      </c>
      <c r="D8" s="3" t="s">
        <v>39</v>
      </c>
      <c r="E8" s="29" t="s">
        <v>40</v>
      </c>
      <c r="F8" s="5">
        <v>1480</v>
      </c>
      <c r="J8" s="2">
        <v>1</v>
      </c>
      <c r="K8" s="28" t="s">
        <v>91</v>
      </c>
      <c r="L8" s="3" t="s">
        <v>92</v>
      </c>
      <c r="M8" s="29" t="s">
        <v>40</v>
      </c>
      <c r="N8" s="5">
        <v>1430</v>
      </c>
    </row>
    <row r="9" spans="2:14" x14ac:dyDescent="0.2">
      <c r="B9" s="2">
        <v>2</v>
      </c>
      <c r="C9" s="28" t="s">
        <v>26</v>
      </c>
      <c r="D9" s="3" t="s">
        <v>41</v>
      </c>
      <c r="E9" s="29" t="s">
        <v>42</v>
      </c>
      <c r="F9" s="5">
        <v>2428</v>
      </c>
      <c r="J9" s="2">
        <v>2</v>
      </c>
      <c r="K9" s="28" t="s">
        <v>91</v>
      </c>
      <c r="L9" s="3" t="s">
        <v>93</v>
      </c>
      <c r="M9" s="29" t="s">
        <v>94</v>
      </c>
      <c r="N9" s="5">
        <v>1878</v>
      </c>
    </row>
    <row r="10" spans="2:14" x14ac:dyDescent="0.2">
      <c r="B10" s="2">
        <v>3</v>
      </c>
      <c r="C10" s="28" t="s">
        <v>26</v>
      </c>
      <c r="D10" s="3" t="s">
        <v>43</v>
      </c>
      <c r="E10" s="29" t="s">
        <v>44</v>
      </c>
      <c r="F10" s="5">
        <v>2288</v>
      </c>
      <c r="J10" s="2">
        <v>3</v>
      </c>
      <c r="K10" s="28" t="s">
        <v>91</v>
      </c>
      <c r="L10" s="3" t="s">
        <v>95</v>
      </c>
      <c r="M10" s="29" t="s">
        <v>44</v>
      </c>
      <c r="N10" s="5">
        <v>2632</v>
      </c>
    </row>
    <row r="11" spans="2:14" x14ac:dyDescent="0.2">
      <c r="B11" s="2">
        <v>4</v>
      </c>
      <c r="C11" s="28" t="s">
        <v>26</v>
      </c>
      <c r="D11" s="3" t="s">
        <v>45</v>
      </c>
      <c r="E11" s="29" t="s">
        <v>46</v>
      </c>
      <c r="F11" s="5">
        <v>2349</v>
      </c>
      <c r="J11" s="2">
        <v>4</v>
      </c>
      <c r="K11" s="28" t="s">
        <v>91</v>
      </c>
      <c r="L11" s="3" t="s">
        <v>96</v>
      </c>
      <c r="M11" s="29" t="s">
        <v>48</v>
      </c>
      <c r="N11" s="5">
        <v>3248</v>
      </c>
    </row>
    <row r="12" spans="2:14" x14ac:dyDescent="0.2">
      <c r="B12" s="2">
        <v>5</v>
      </c>
      <c r="C12" s="28" t="s">
        <v>26</v>
      </c>
      <c r="D12" s="3" t="s">
        <v>47</v>
      </c>
      <c r="E12" s="29" t="s">
        <v>48</v>
      </c>
      <c r="F12" s="5">
        <v>2434</v>
      </c>
      <c r="J12" s="2">
        <v>5</v>
      </c>
      <c r="K12" s="28" t="s">
        <v>91</v>
      </c>
      <c r="L12" s="3" t="s">
        <v>97</v>
      </c>
      <c r="M12" s="29" t="s">
        <v>50</v>
      </c>
      <c r="N12" s="5">
        <v>3848</v>
      </c>
    </row>
    <row r="13" spans="2:14" x14ac:dyDescent="0.2">
      <c r="B13" s="2">
        <v>6</v>
      </c>
      <c r="C13" s="28" t="s">
        <v>26</v>
      </c>
      <c r="D13" s="3" t="s">
        <v>49</v>
      </c>
      <c r="E13" s="29" t="s">
        <v>50</v>
      </c>
      <c r="F13" s="5">
        <v>2600</v>
      </c>
      <c r="J13" s="2">
        <v>6</v>
      </c>
      <c r="K13" s="28" t="s">
        <v>91</v>
      </c>
      <c r="L13" s="3" t="s">
        <v>98</v>
      </c>
      <c r="M13" s="29" t="s">
        <v>99</v>
      </c>
      <c r="N13" s="5">
        <v>3653</v>
      </c>
    </row>
    <row r="14" spans="2:14" x14ac:dyDescent="0.2">
      <c r="B14" s="6">
        <v>7</v>
      </c>
      <c r="C14" s="30" t="s">
        <v>27</v>
      </c>
      <c r="D14" s="7" t="s">
        <v>51</v>
      </c>
      <c r="E14" s="31" t="s">
        <v>40</v>
      </c>
      <c r="F14" s="9">
        <v>2273</v>
      </c>
      <c r="K14" s="22"/>
      <c r="N14" t="s">
        <v>109</v>
      </c>
    </row>
    <row r="15" spans="2:14" x14ac:dyDescent="0.2">
      <c r="B15" s="6">
        <v>8</v>
      </c>
      <c r="C15" s="30" t="s">
        <v>27</v>
      </c>
      <c r="D15" s="7" t="s">
        <v>52</v>
      </c>
      <c r="E15" s="31" t="s">
        <v>53</v>
      </c>
      <c r="F15" s="9">
        <v>3118</v>
      </c>
    </row>
    <row r="16" spans="2:14" x14ac:dyDescent="0.2">
      <c r="B16" s="6">
        <v>9</v>
      </c>
      <c r="C16" s="30" t="s">
        <v>27</v>
      </c>
      <c r="D16" s="7" t="s">
        <v>54</v>
      </c>
      <c r="E16" s="31" t="s">
        <v>42</v>
      </c>
      <c r="F16" s="9">
        <v>3573</v>
      </c>
    </row>
    <row r="17" spans="2:6" x14ac:dyDescent="0.2">
      <c r="B17" s="6">
        <v>10</v>
      </c>
      <c r="C17" s="30" t="s">
        <v>27</v>
      </c>
      <c r="D17" s="7" t="s">
        <v>55</v>
      </c>
      <c r="E17" s="31" t="s">
        <v>44</v>
      </c>
      <c r="F17" s="9">
        <v>3638</v>
      </c>
    </row>
    <row r="18" spans="2:6" x14ac:dyDescent="0.2">
      <c r="B18" s="6">
        <v>11</v>
      </c>
      <c r="C18" s="30" t="s">
        <v>27</v>
      </c>
      <c r="D18" s="7" t="s">
        <v>56</v>
      </c>
      <c r="E18" s="31" t="s">
        <v>48</v>
      </c>
      <c r="F18" s="9">
        <v>4418</v>
      </c>
    </row>
    <row r="19" spans="2:6" x14ac:dyDescent="0.2">
      <c r="B19" s="6">
        <v>12</v>
      </c>
      <c r="C19" s="30" t="s">
        <v>27</v>
      </c>
      <c r="D19" s="7" t="s">
        <v>57</v>
      </c>
      <c r="E19" s="31" t="s">
        <v>50</v>
      </c>
      <c r="F19" s="9">
        <v>5185</v>
      </c>
    </row>
    <row r="20" spans="2:6" x14ac:dyDescent="0.2">
      <c r="B20" s="10">
        <v>13</v>
      </c>
      <c r="C20" s="32" t="s">
        <v>28</v>
      </c>
      <c r="D20" s="11" t="s">
        <v>58</v>
      </c>
      <c r="E20" s="33" t="s">
        <v>40</v>
      </c>
      <c r="F20" s="13">
        <v>1745</v>
      </c>
    </row>
    <row r="21" spans="2:6" x14ac:dyDescent="0.2">
      <c r="B21" s="10">
        <v>14</v>
      </c>
      <c r="C21" s="32" t="s">
        <v>28</v>
      </c>
      <c r="D21" s="11" t="s">
        <v>59</v>
      </c>
      <c r="E21" s="33" t="s">
        <v>53</v>
      </c>
      <c r="F21" s="13">
        <v>3226</v>
      </c>
    </row>
    <row r="22" spans="2:6" x14ac:dyDescent="0.2">
      <c r="B22" s="10">
        <v>15</v>
      </c>
      <c r="C22" s="32" t="s">
        <v>28</v>
      </c>
      <c r="D22" s="11" t="s">
        <v>60</v>
      </c>
      <c r="E22" s="33" t="s">
        <v>42</v>
      </c>
      <c r="F22" s="13">
        <v>3477</v>
      </c>
    </row>
    <row r="23" spans="2:6" x14ac:dyDescent="0.2">
      <c r="B23" s="10">
        <v>16</v>
      </c>
      <c r="C23" s="32" t="s">
        <v>28</v>
      </c>
      <c r="D23" s="11" t="s">
        <v>61</v>
      </c>
      <c r="E23" s="33" t="s">
        <v>44</v>
      </c>
      <c r="F23" s="13"/>
    </row>
    <row r="24" spans="2:6" x14ac:dyDescent="0.2">
      <c r="B24" s="10">
        <v>17</v>
      </c>
      <c r="C24" s="32" t="s">
        <v>28</v>
      </c>
      <c r="D24" s="11" t="s">
        <v>62</v>
      </c>
      <c r="E24" s="33" t="s">
        <v>48</v>
      </c>
      <c r="F24" s="13">
        <v>3477</v>
      </c>
    </row>
    <row r="25" spans="2:6" x14ac:dyDescent="0.2">
      <c r="B25" s="10">
        <v>18</v>
      </c>
      <c r="C25" s="32" t="s">
        <v>28</v>
      </c>
      <c r="D25" s="11" t="s">
        <v>63</v>
      </c>
      <c r="E25" s="33" t="s">
        <v>50</v>
      </c>
      <c r="F25" s="13">
        <v>4564</v>
      </c>
    </row>
    <row r="26" spans="2:6" x14ac:dyDescent="0.2">
      <c r="B26" s="14">
        <v>19</v>
      </c>
      <c r="C26" s="34" t="s">
        <v>29</v>
      </c>
      <c r="D26" s="15" t="s">
        <v>64</v>
      </c>
      <c r="E26" s="35" t="s">
        <v>40</v>
      </c>
      <c r="F26" s="17">
        <v>1337</v>
      </c>
    </row>
    <row r="27" spans="2:6" x14ac:dyDescent="0.2">
      <c r="B27" s="14">
        <v>20</v>
      </c>
      <c r="C27" s="34" t="s">
        <v>29</v>
      </c>
      <c r="D27" s="15" t="s">
        <v>65</v>
      </c>
      <c r="E27" s="35" t="s">
        <v>53</v>
      </c>
      <c r="F27" s="17">
        <v>2117</v>
      </c>
    </row>
    <row r="28" spans="2:6" x14ac:dyDescent="0.2">
      <c r="B28" s="14">
        <v>21</v>
      </c>
      <c r="C28" s="34" t="s">
        <v>29</v>
      </c>
      <c r="D28" s="15" t="s">
        <v>66</v>
      </c>
      <c r="E28" s="35" t="s">
        <v>42</v>
      </c>
      <c r="F28" s="17">
        <v>2247</v>
      </c>
    </row>
    <row r="29" spans="2:6" x14ac:dyDescent="0.2">
      <c r="B29" s="14">
        <v>22</v>
      </c>
      <c r="C29" s="34" t="s">
        <v>29</v>
      </c>
      <c r="D29" s="15" t="s">
        <v>67</v>
      </c>
      <c r="E29" s="35" t="s">
        <v>44</v>
      </c>
      <c r="F29" s="17"/>
    </row>
    <row r="30" spans="2:6" x14ac:dyDescent="0.2">
      <c r="B30" s="14">
        <v>23</v>
      </c>
      <c r="C30" s="34" t="s">
        <v>29</v>
      </c>
      <c r="D30" s="15" t="s">
        <v>68</v>
      </c>
      <c r="E30" s="35" t="s">
        <v>48</v>
      </c>
      <c r="F30" s="17">
        <v>2247</v>
      </c>
    </row>
    <row r="31" spans="2:6" x14ac:dyDescent="0.2">
      <c r="B31" s="14">
        <v>24</v>
      </c>
      <c r="C31" s="34" t="s">
        <v>29</v>
      </c>
      <c r="D31" s="15" t="s">
        <v>69</v>
      </c>
      <c r="E31" s="35" t="s">
        <v>50</v>
      </c>
      <c r="F31" s="17">
        <v>2338</v>
      </c>
    </row>
    <row r="32" spans="2:6" x14ac:dyDescent="0.2">
      <c r="B32" s="18">
        <v>25</v>
      </c>
      <c r="C32" s="36" t="s">
        <v>30</v>
      </c>
      <c r="D32" s="19" t="s">
        <v>70</v>
      </c>
      <c r="E32" s="37" t="s">
        <v>40</v>
      </c>
      <c r="F32" s="21">
        <v>2327</v>
      </c>
    </row>
    <row r="33" spans="2:6" x14ac:dyDescent="0.2">
      <c r="B33" s="18">
        <v>26</v>
      </c>
      <c r="C33" s="36" t="s">
        <v>30</v>
      </c>
      <c r="D33" s="19" t="s">
        <v>71</v>
      </c>
      <c r="E33" s="37" t="s">
        <v>42</v>
      </c>
      <c r="F33" s="21"/>
    </row>
    <row r="34" spans="2:6" x14ac:dyDescent="0.2">
      <c r="B34" s="18">
        <v>27</v>
      </c>
      <c r="C34" s="36" t="s">
        <v>30</v>
      </c>
      <c r="D34" s="19" t="s">
        <v>72</v>
      </c>
      <c r="E34" s="37" t="s">
        <v>44</v>
      </c>
      <c r="F34" s="21"/>
    </row>
    <row r="35" spans="2:6" x14ac:dyDescent="0.2">
      <c r="B35" s="18">
        <v>28</v>
      </c>
      <c r="C35" s="36" t="s">
        <v>30</v>
      </c>
      <c r="D35" s="19" t="s">
        <v>73</v>
      </c>
      <c r="E35" s="37" t="s">
        <v>48</v>
      </c>
      <c r="F35" s="21">
        <v>2910</v>
      </c>
    </row>
    <row r="36" spans="2:6" x14ac:dyDescent="0.2">
      <c r="B36" s="18">
        <v>29</v>
      </c>
      <c r="C36" s="36" t="s">
        <v>30</v>
      </c>
      <c r="D36" s="19" t="s">
        <v>74</v>
      </c>
      <c r="E36" s="37" t="s">
        <v>50</v>
      </c>
      <c r="F36" s="21"/>
    </row>
    <row r="37" spans="2:6" ht="16" thickBot="1" x14ac:dyDescent="0.25"/>
    <row r="38" spans="2:6" ht="16" thickBot="1" x14ac:dyDescent="0.25">
      <c r="B38" s="43" t="s">
        <v>75</v>
      </c>
      <c r="C38" s="44"/>
      <c r="D38" s="44"/>
      <c r="E38" s="44"/>
      <c r="F38" s="44"/>
    </row>
    <row r="40" spans="2:6" x14ac:dyDescent="0.2">
      <c r="B40" s="22" t="s">
        <v>25</v>
      </c>
    </row>
    <row r="41" spans="2:6" x14ac:dyDescent="0.2">
      <c r="B41" s="23" t="s">
        <v>26</v>
      </c>
    </row>
    <row r="42" spans="2:6" x14ac:dyDescent="0.2">
      <c r="B42" s="24" t="s">
        <v>27</v>
      </c>
    </row>
    <row r="43" spans="2:6" x14ac:dyDescent="0.2">
      <c r="B43" s="25" t="s">
        <v>28</v>
      </c>
    </row>
    <row r="44" spans="2:6" x14ac:dyDescent="0.2">
      <c r="B44" s="26" t="s">
        <v>29</v>
      </c>
    </row>
    <row r="45" spans="2:6" x14ac:dyDescent="0.2">
      <c r="B45" s="27" t="s">
        <v>30</v>
      </c>
    </row>
    <row r="46" spans="2:6" ht="16" x14ac:dyDescent="0.2">
      <c r="B46" s="41" t="s">
        <v>100</v>
      </c>
    </row>
  </sheetData>
  <mergeCells count="1">
    <mergeCell ref="B38:F38"/>
  </mergeCells>
  <pageMargins left="0.7" right="0.7" top="0.75" bottom="0.75" header="0.3" footer="0.3"/>
  <pageSetup paperSize="9" scale="71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36488-4427-694F-986B-E32E397E1F9D}">
  <dimension ref="B3:L22"/>
  <sheetViews>
    <sheetView topLeftCell="B1" workbookViewId="0">
      <selection activeCell="B3" sqref="B3:L22"/>
    </sheetView>
  </sheetViews>
  <sheetFormatPr baseColWidth="10" defaultRowHeight="15" x14ac:dyDescent="0.2"/>
  <cols>
    <col min="8" max="8" width="11.5" bestFit="1" customWidth="1"/>
  </cols>
  <sheetData>
    <row r="3" spans="2:12" ht="16" x14ac:dyDescent="0.2"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</row>
    <row r="4" spans="2:12" ht="16" x14ac:dyDescent="0.2">
      <c r="B4" s="38" t="s">
        <v>76</v>
      </c>
      <c r="C4" s="38" t="s">
        <v>77</v>
      </c>
      <c r="D4" s="38"/>
      <c r="E4" s="38" t="s">
        <v>78</v>
      </c>
      <c r="F4" s="38"/>
      <c r="G4" s="38"/>
      <c r="H4" s="38" t="s">
        <v>79</v>
      </c>
      <c r="I4" s="38"/>
      <c r="J4" s="38" t="s">
        <v>80</v>
      </c>
      <c r="K4" s="38"/>
      <c r="L4" s="38" t="s">
        <v>81</v>
      </c>
    </row>
    <row r="5" spans="2:12" ht="16" x14ac:dyDescent="0.2"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</row>
    <row r="6" spans="2:12" ht="16" x14ac:dyDescent="0.2">
      <c r="B6" s="38" t="s">
        <v>88</v>
      </c>
      <c r="C6" s="38" t="s">
        <v>83</v>
      </c>
      <c r="D6" s="38"/>
      <c r="E6" s="38" t="s">
        <v>82</v>
      </c>
      <c r="F6" s="38"/>
      <c r="G6" s="38"/>
      <c r="H6" s="39">
        <v>4984</v>
      </c>
      <c r="I6" s="38"/>
      <c r="J6" s="39">
        <v>1500</v>
      </c>
      <c r="K6" s="38"/>
      <c r="L6" s="40">
        <f>H6-J6</f>
        <v>3484</v>
      </c>
    </row>
    <row r="7" spans="2:12" ht="16" x14ac:dyDescent="0.2">
      <c r="B7" s="38"/>
      <c r="C7" s="38"/>
      <c r="D7" s="38"/>
      <c r="E7" s="38"/>
      <c r="F7" s="38"/>
      <c r="G7" s="38"/>
      <c r="H7" s="38"/>
      <c r="I7" s="38"/>
      <c r="J7" s="38"/>
      <c r="K7" s="38"/>
      <c r="L7" s="40">
        <f t="shared" ref="L7:L11" si="0">H7-J7</f>
        <v>0</v>
      </c>
    </row>
    <row r="8" spans="2:12" ht="16" x14ac:dyDescent="0.2">
      <c r="B8" s="38"/>
      <c r="C8" s="38"/>
      <c r="D8" s="38"/>
      <c r="E8" s="38" t="s">
        <v>85</v>
      </c>
      <c r="F8" s="38"/>
      <c r="G8" s="38"/>
      <c r="H8" s="39">
        <v>8088</v>
      </c>
      <c r="I8" s="38"/>
      <c r="J8" s="39">
        <v>2500</v>
      </c>
      <c r="K8" s="39"/>
      <c r="L8" s="40">
        <f t="shared" si="0"/>
        <v>5588</v>
      </c>
    </row>
    <row r="9" spans="2:12" ht="16" x14ac:dyDescent="0.2">
      <c r="B9" s="38" t="s">
        <v>89</v>
      </c>
      <c r="C9" s="38" t="s">
        <v>84</v>
      </c>
      <c r="D9" s="38"/>
      <c r="E9" s="38"/>
      <c r="F9" s="38"/>
      <c r="G9" s="38"/>
      <c r="H9" s="38"/>
      <c r="I9" s="38"/>
      <c r="J9" s="38"/>
      <c r="K9" s="38"/>
      <c r="L9" s="40">
        <f t="shared" si="0"/>
        <v>0</v>
      </c>
    </row>
    <row r="10" spans="2:12" ht="16" x14ac:dyDescent="0.2"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40">
        <f t="shared" si="0"/>
        <v>0</v>
      </c>
    </row>
    <row r="11" spans="2:12" ht="16" x14ac:dyDescent="0.2">
      <c r="B11" s="38" t="s">
        <v>90</v>
      </c>
      <c r="C11" s="38" t="s">
        <v>86</v>
      </c>
      <c r="D11" s="38"/>
      <c r="E11" s="38" t="s">
        <v>84</v>
      </c>
      <c r="F11" s="38"/>
      <c r="G11" s="38"/>
      <c r="H11" s="39">
        <v>10417</v>
      </c>
      <c r="I11" s="38"/>
      <c r="J11" s="39">
        <v>3250</v>
      </c>
      <c r="K11" s="38"/>
      <c r="L11" s="40">
        <f t="shared" si="0"/>
        <v>7167</v>
      </c>
    </row>
    <row r="12" spans="2:12" ht="16" x14ac:dyDescent="0.2"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</row>
    <row r="13" spans="2:12" ht="16" x14ac:dyDescent="0.2"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</row>
    <row r="14" spans="2:12" ht="16" x14ac:dyDescent="0.2"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</row>
    <row r="15" spans="2:12" ht="16" x14ac:dyDescent="0.2"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</row>
    <row r="16" spans="2:12" ht="16" x14ac:dyDescent="0.2"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</row>
    <row r="17" spans="2:12" ht="16" x14ac:dyDescent="0.2"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</row>
    <row r="18" spans="2:12" ht="16" x14ac:dyDescent="0.2">
      <c r="B18" s="38" t="s">
        <v>87</v>
      </c>
      <c r="C18" s="38"/>
      <c r="D18" s="38"/>
      <c r="E18" s="38"/>
      <c r="F18" s="38"/>
      <c r="G18" s="38"/>
      <c r="H18" s="38"/>
      <c r="I18" s="38"/>
      <c r="J18" s="38"/>
      <c r="K18" s="38"/>
      <c r="L18" s="38"/>
    </row>
    <row r="19" spans="2:12" ht="16" x14ac:dyDescent="0.2"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</row>
    <row r="20" spans="2:12" ht="16" x14ac:dyDescent="0.2"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</row>
    <row r="21" spans="2:12" ht="16" x14ac:dyDescent="0.2"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</row>
    <row r="22" spans="2:12" ht="16" x14ac:dyDescent="0.2"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</row>
  </sheetData>
  <pageMargins left="0.7" right="0.7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Battery Price List</vt:lpstr>
      <vt:lpstr>Inverter Price</vt:lpstr>
      <vt:lpstr>Solar Price</vt:lpstr>
      <vt:lpstr>'Solar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Nessar Khan</cp:lastModifiedBy>
  <cp:lastPrinted>2026-05-05T01:17:19Z</cp:lastPrinted>
  <dcterms:created xsi:type="dcterms:W3CDTF">2026-04-13T02:27:41Z</dcterms:created>
  <dcterms:modified xsi:type="dcterms:W3CDTF">2026-06-02T08:05:48Z</dcterms:modified>
</cp:coreProperties>
</file>